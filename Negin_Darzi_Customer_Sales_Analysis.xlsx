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gin\Desktop\"/>
    </mc:Choice>
  </mc:AlternateContent>
  <xr:revisionPtr revIDLastSave="0" documentId="13_ncr:1_{8D1283E8-D7CB-4191-A26B-3A39C7D80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Summary" sheetId="2" r:id="rId2"/>
    <sheet name="Product Analysis" sheetId="4" r:id="rId3"/>
  </sheets>
  <definedNames>
    <definedName name="_xlnm._FilterDatabase" localSheetId="0" hidden="1">'Sales Data'!$A$1:$I$21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2" l="1"/>
  <c r="B15" i="2"/>
  <c r="B14" i="2"/>
  <c r="B6" i="2"/>
  <c r="B5" i="2" a="1"/>
  <c r="B5" i="2" s="1"/>
  <c r="B10" i="2"/>
  <c r="B9" i="2"/>
  <c r="B8" i="2"/>
  <c r="B7" i="2"/>
  <c r="B22" i="2" a="1"/>
  <c r="B22" i="2" s="1"/>
  <c r="B21" i="2" a="1"/>
  <c r="B21" i="2" s="1"/>
  <c r="B20" i="2" a="1"/>
  <c r="B20" i="2" s="1"/>
  <c r="B3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4" i="1"/>
  <c r="I2" i="1"/>
  <c r="B13" i="2" s="1"/>
  <c r="I3" i="1"/>
  <c r="M4" i="2" l="1"/>
  <c r="B2" i="2"/>
  <c r="B4" i="2"/>
  <c r="M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<sst xmlns="http://schemas.openxmlformats.org/spreadsheetml/2006/main" count="149" uniqueCount="90">
  <si>
    <t>Order ID</t>
  </si>
  <si>
    <t>Date</t>
  </si>
  <si>
    <t>Product</t>
  </si>
  <si>
    <t>Category</t>
  </si>
  <si>
    <t>Region</t>
  </si>
  <si>
    <t>Units Sold</t>
  </si>
  <si>
    <t>Unit Price</t>
  </si>
  <si>
    <t>Discount</t>
  </si>
  <si>
    <t>Sales</t>
  </si>
  <si>
    <t>ORD001</t>
  </si>
  <si>
    <t>2026-01-05</t>
  </si>
  <si>
    <t>Laptop</t>
  </si>
  <si>
    <t>Electronics</t>
  </si>
  <si>
    <t>North</t>
  </si>
  <si>
    <t>ORD002</t>
  </si>
  <si>
    <t>2026-01-07</t>
  </si>
  <si>
    <t>Smartphone</t>
  </si>
  <si>
    <t>South</t>
  </si>
  <si>
    <t>ORD003</t>
  </si>
  <si>
    <t>2026-01-10</t>
  </si>
  <si>
    <t>Headphones</t>
  </si>
  <si>
    <t>Accessories</t>
  </si>
  <si>
    <t>East</t>
  </si>
  <si>
    <t>ORD004</t>
  </si>
  <si>
    <t>2026-01-13</t>
  </si>
  <si>
    <t>Tablet</t>
  </si>
  <si>
    <t>West</t>
  </si>
  <si>
    <t>ORD005</t>
  </si>
  <si>
    <t>2026-01-16</t>
  </si>
  <si>
    <t>Smartwatch</t>
  </si>
  <si>
    <t>ORD006</t>
  </si>
  <si>
    <t>2026-01-20</t>
  </si>
  <si>
    <t>Keyboard</t>
  </si>
  <si>
    <t>ORD007</t>
  </si>
  <si>
    <t>2026-01-23</t>
  </si>
  <si>
    <t>Mouse</t>
  </si>
  <si>
    <t>ORD008</t>
  </si>
  <si>
    <t>2026-02-02</t>
  </si>
  <si>
    <t>ORD009</t>
  </si>
  <si>
    <t>2026-02-06</t>
  </si>
  <si>
    <t>ORD010</t>
  </si>
  <si>
    <t>2026-02-09</t>
  </si>
  <si>
    <t>ORD011</t>
  </si>
  <si>
    <t>2026-02-14</t>
  </si>
  <si>
    <t>ORD012</t>
  </si>
  <si>
    <t>2026-02-18</t>
  </si>
  <si>
    <t>ORD013</t>
  </si>
  <si>
    <t>2026-02-22</t>
  </si>
  <si>
    <t>ORD014</t>
  </si>
  <si>
    <t>2026-03-03</t>
  </si>
  <si>
    <t>ORD015</t>
  </si>
  <si>
    <t>2026-03-08</t>
  </si>
  <si>
    <t>ORD016</t>
  </si>
  <si>
    <t>2026-03-12</t>
  </si>
  <si>
    <t>ORD017</t>
  </si>
  <si>
    <t>2026-03-17</t>
  </si>
  <si>
    <t>ORD018</t>
  </si>
  <si>
    <t>2026-03-21</t>
  </si>
  <si>
    <t>ORD019</t>
  </si>
  <si>
    <t>2026-03-25</t>
  </si>
  <si>
    <t>ORD020</t>
  </si>
  <si>
    <t>2026-03-29</t>
  </si>
  <si>
    <t>Sales Analysis Summary</t>
  </si>
  <si>
    <t>Total Sales</t>
  </si>
  <si>
    <t>Total Units Sold</t>
  </si>
  <si>
    <t>Average Order Value</t>
  </si>
  <si>
    <t>Sales by Region</t>
  </si>
  <si>
    <t>Sales by Category</t>
  </si>
  <si>
    <t>Monthly Sales</t>
  </si>
  <si>
    <t xml:space="preserve">Month </t>
  </si>
  <si>
    <t>Month 1</t>
  </si>
  <si>
    <t>Month 2</t>
  </si>
  <si>
    <t>Month 3</t>
  </si>
  <si>
    <t>Row Labels</t>
  </si>
  <si>
    <t>Grand Total</t>
  </si>
  <si>
    <t>Sum of Sales</t>
  </si>
  <si>
    <t>Product Sales Analysis</t>
  </si>
  <si>
    <t>Top 5 Products by Sales</t>
  </si>
  <si>
    <t>Key Insights</t>
  </si>
  <si>
    <t>Smartphone has the highest sales among all products</t>
  </si>
  <si>
    <t>West region has the highest total sales</t>
  </si>
  <si>
    <t>Electronics generate higher sales than Accessories</t>
  </si>
  <si>
    <t>Month 3 has the highest monthly sales</t>
  </si>
  <si>
    <t>Total Discount Given</t>
  </si>
  <si>
    <t>Discount Rate</t>
  </si>
  <si>
    <t>Total Orders</t>
  </si>
  <si>
    <t>Average Discount</t>
  </si>
  <si>
    <t>Highest Order Sales</t>
  </si>
  <si>
    <t>Lowest Order Sales</t>
  </si>
  <si>
    <t>Prepared by: Negin Darzi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</si>
</sst>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Font="1"/>
    <xf numFmtId="0" fontId="4" fillId="0" borderId="0" xfId="0" applyFont="1"/>
    <xf numFmtId="0" fontId="6" fillId="0" borderId="0" xfId="0" applyFont="1"/>
    <xf numFmtId="10" fontId="0" fillId="0" borderId="1" xfId="1" applyNumberFormat="1" applyFont="1" applyBorder="1" applyAlignment="1">
      <alignment horizontal="center" vertical="center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0">
    <dxf>
      <numFmt numFmtId="4" formatCode="#,##0.0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>
                    <a:lumMod val="85000"/>
                    <a:lumOff val="15000"/>
                  </a:schemeClr>
                </a:solidFill>
              </a:rPr>
              <a:t>Sales by Region</a:t>
            </a:r>
          </a:p>
        </c:rich>
      </c:tx>
      <c:layout>
        <c:manualLayout>
          <c:xMode val="edge"/>
          <c:yMode val="edge"/>
          <c:x val="0.30709254432546101"/>
          <c:y val="7.570962517333261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61183171605624"/>
          <c:y val="0.13517538370617582"/>
          <c:w val="0.87753018372703417"/>
          <c:h val="0.75999509207690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Summary!$A$13:$A$16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Summary!$B$13:$B$16</c:f>
              <c:numCache>
                <c:formatCode>#,##0.00</c:formatCode>
                <c:ptCount val="4"/>
                <c:pt idx="0">
                  <c:v>5575.35</c:v>
                </c:pt>
                <c:pt idx="1">
                  <c:v>5301.5</c:v>
                </c:pt>
                <c:pt idx="2">
                  <c:v>5458</c:v>
                </c:pt>
                <c:pt idx="3">
                  <c:v>6313.7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C-4C59-8378-1F71C3901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661967"/>
        <c:axId val="548655311"/>
      </c:barChart>
      <c:catAx>
        <c:axId val="5486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55311"/>
        <c:crosses val="autoZero"/>
        <c:auto val="1"/>
        <c:lblAlgn val="ctr"/>
        <c:lblOffset val="100"/>
        <c:noMultiLvlLbl val="0"/>
      </c:catAx>
      <c:valAx>
        <c:axId val="54865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6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Sales by Category</a:t>
            </a:r>
          </a:p>
        </c:rich>
      </c:tx>
      <c:layout>
        <c:manualLayout>
          <c:xMode val="edge"/>
          <c:yMode val="edge"/>
          <c:x val="0.26941615750169723"/>
          <c:y val="3.9615166949632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19190040145184"/>
          <c:y val="0.20327966607036377"/>
          <c:w val="0.8348637683018747"/>
          <c:h val="0.64049929805285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Summary!$M$2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Summary!$L$3:$L$4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Summary!$M$3:$M$4</c:f>
              <c:numCache>
                <c:formatCode>#,##0.00</c:formatCode>
                <c:ptCount val="2"/>
                <c:pt idx="0">
                  <c:v>14947.5</c:v>
                </c:pt>
                <c:pt idx="1">
                  <c:v>7701.05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B-453C-BCF9-EDCEDC260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140431"/>
        <c:axId val="696140015"/>
      </c:barChart>
      <c:catAx>
        <c:axId val="69614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40015"/>
        <c:crosses val="autoZero"/>
        <c:auto val="1"/>
        <c:lblAlgn val="ctr"/>
        <c:lblOffset val="100"/>
        <c:noMultiLvlLbl val="0"/>
      </c:catAx>
      <c:valAx>
        <c:axId val="69614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4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526571060747"/>
          <c:y val="0.23714711508519062"/>
          <c:w val="0.84585192060117964"/>
          <c:h val="0.63178922549935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Summary!$B$19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Summary!$A$20:$A$22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Summary!$B$20:$B$22</c:f>
              <c:numCache>
                <c:formatCode>#,##0.00</c:formatCode>
                <c:ptCount val="3"/>
                <c:pt idx="0">
                  <c:v>7237.9</c:v>
                </c:pt>
                <c:pt idx="1">
                  <c:v>6639.6500000000005</c:v>
                </c:pt>
                <c:pt idx="2">
                  <c:v>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B-4FEB-8A3E-C476D442C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122127"/>
        <c:axId val="696126287"/>
      </c:barChart>
      <c:catAx>
        <c:axId val="69612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26287"/>
        <c:crosses val="autoZero"/>
        <c:auto val="1"/>
        <c:lblAlgn val="ctr"/>
        <c:lblOffset val="100"/>
        <c:noMultiLvlLbl val="0"/>
      </c:catAx>
      <c:valAx>
        <c:axId val="69612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2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[Negin_Darzi_customer_sales_Analysis.xlsx.xlsx]Product 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'Product Analysis'!$A$5:$A$10</c:f>
              <c:strCache>
                <c:ptCount val="5"/>
                <c:pt idx="0">
                  <c:v>Smartphone</c:v>
                </c:pt>
                <c:pt idx="1">
                  <c:v>Laptop</c:v>
                </c:pt>
                <c:pt idx="2">
                  <c:v>Tablet</c:v>
                </c:pt>
                <c:pt idx="3">
                  <c:v>Smartwatch</c:v>
                </c:pt>
                <c:pt idx="4">
                  <c:v>Headphones</c:v>
                </c:pt>
              </c:strCache>
            </c:strRef>
          </c:cat>
          <c:val>
            <c:numRef>
              <c:f>'Product Analysis'!$B$5:$B$10</c:f>
              <c:numCache>
                <c:formatCode>#,##0.00</c:formatCode>
                <c:ptCount val="5"/>
                <c:pt idx="0">
                  <c:v>7217.6</c:v>
                </c:pt>
                <c:pt idx="1">
                  <c:v>3952.5</c:v>
                </c:pt>
                <c:pt idx="2">
                  <c:v>3777.4</c:v>
                </c:pt>
                <c:pt idx="3">
                  <c:v>3448.8</c:v>
                </c:pt>
                <c:pt idx="4">
                  <c:v>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F-4126-85F8-ABCF87CFD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222655"/>
        <c:axId val="768205183"/>
      </c:barChart>
      <c:catAx>
        <c:axId val="76822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05183"/>
        <c:crosses val="autoZero"/>
        <c:auto val="1"/>
        <c:lblAlgn val="ctr"/>
        <c:lblOffset val="100"/>
        <c:noMultiLvlLbl val="0"/>
      </c:catAx>
      <c:valAx>
        <c:axId val="7682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2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8467</xdr:rowOff>
    </xdr:from>
    <xdr:to>
      <xdr:col>9</xdr:col>
      <xdr:colOff>609599</xdr:colOff>
      <xdr:row>15</xdr:row>
      <xdr:rowOff>8467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082616-CB91-4260-B386-F3B122501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204047</xdr:colOff>
      <xdr:row>1</xdr:row>
      <xdr:rowOff>0</xdr:rowOff>
    </xdr:from>
    <xdr:to>
      <xdr:col>19</xdr:col>
      <xdr:colOff>169335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B7E685-60BD-491C-85C2-CCC5DC6CE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9312</xdr:colOff>
      <xdr:row>15</xdr:row>
      <xdr:rowOff>175259</xdr:rowOff>
    </xdr:from>
    <xdr:to>
      <xdr:col>10</xdr:col>
      <xdr:colOff>8465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DB4794-0321-4F8C-B873-C026F8C6C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0</xdr:rowOff>
    </xdr:from>
    <xdr:to>
      <xdr:col>12</xdr:col>
      <xdr:colOff>15240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50A00-D944-4617-AE5B-71340C16D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gin" refreshedDate="46303.64674236111" createdVersion="7" refreshedVersion="7" minRefreshableVersion="3" recordCount="20" xr:uid="{38DB7447-A178-4650-B52D-B22DFF3A1FA0}">
  <cacheSource type="worksheet">
    <worksheetSource name="Table1"/>
  </cacheSource>
  <cacheFields count="9">
    <cacheField name="Order ID" numFmtId="0">
      <sharedItems/>
    </cacheField>
    <cacheField name="Date" numFmtId="164">
      <sharedItems/>
    </cacheField>
    <cacheField name="Product" numFmtId="0">
      <sharedItems count="7">
        <s v="Laptop"/>
        <s v="Smartphone"/>
        <s v="Headphones"/>
        <s v="Tablet"/>
        <s v="Smartwatch"/>
        <s v="Keyboard"/>
        <s v="Mouse"/>
      </sharedItems>
    </cacheField>
    <cacheField name="Category" numFmtId="0">
      <sharedItems count="2">
        <s v="Electronics"/>
        <s v="Accessories"/>
      </sharedItems>
    </cacheField>
    <cacheField name="Region" numFmtId="0">
      <sharedItems/>
    </cacheField>
    <cacheField name="Units Sold" numFmtId="0">
      <sharedItems containsSemiMixedTypes="0" containsString="0" containsNumber="1" containsInteger="1" minValue="1" maxValue="20"/>
    </cacheField>
    <cacheField name="Unit Price" numFmtId="165">
      <sharedItems containsSemiMixedTypes="0" containsString="0" containsNumber="1" containsInteger="1" minValue="25" maxValue="850"/>
    </cacheField>
    <cacheField name="Discount" numFmtId="9">
      <sharedItems containsSemiMixedTypes="0" containsString="0" containsNumber="1" minValue="0" maxValue="0.12"/>
    </cacheField>
    <cacheField name="Sales" numFmtId="165">
      <sharedItems containsSemiMixedTypes="0" containsString="0" containsNumber="1" minValue="375" maxValue="2964"/>
    </cacheField>
  </cacheFields>
  <extLst>
    <ext xmlns:x14="http://schemas.microsoft.com/office/spreadsheetml/2009/9/main" uri="{725AE2AE-9491-48be-B2B4-4EB974FC3084}">
      <x14:pivotCacheDefinition pivotCacheId="17707493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001"/>
    <s v="2026-01-05"/>
    <x v="0"/>
    <x v="0"/>
    <s v="North"/>
    <n v="2"/>
    <n v="850"/>
    <n v="0.05"/>
    <n v="1615"/>
  </r>
  <r>
    <s v="ORD002"/>
    <s v="2026-01-07"/>
    <x v="1"/>
    <x v="0"/>
    <s v="South"/>
    <n v="5"/>
    <n v="520"/>
    <n v="0.1"/>
    <n v="2340"/>
  </r>
  <r>
    <s v="ORD003"/>
    <s v="2026-01-10"/>
    <x v="2"/>
    <x v="1"/>
    <s v="East"/>
    <n v="8"/>
    <n v="75"/>
    <n v="0.05"/>
    <n v="570"/>
  </r>
  <r>
    <s v="ORD004"/>
    <s v="2026-01-13"/>
    <x v="3"/>
    <x v="0"/>
    <s v="West"/>
    <n v="3"/>
    <n v="340"/>
    <n v="0.08"/>
    <n v="938.40000000000009"/>
  </r>
  <r>
    <s v="ORD005"/>
    <s v="2026-01-16"/>
    <x v="4"/>
    <x v="1"/>
    <s v="North"/>
    <n v="6"/>
    <n v="180"/>
    <n v="0.1"/>
    <n v="972"/>
  </r>
  <r>
    <s v="ORD006"/>
    <s v="2026-01-20"/>
    <x v="5"/>
    <x v="1"/>
    <s v="South"/>
    <n v="10"/>
    <n v="45"/>
    <n v="0.05"/>
    <n v="427.5"/>
  </r>
  <r>
    <s v="ORD007"/>
    <s v="2026-01-23"/>
    <x v="6"/>
    <x v="1"/>
    <s v="East"/>
    <n v="15"/>
    <n v="25"/>
    <n v="0"/>
    <n v="375"/>
  </r>
  <r>
    <s v="ORD008"/>
    <s v="2026-02-02"/>
    <x v="0"/>
    <x v="0"/>
    <s v="West"/>
    <n v="1"/>
    <n v="850"/>
    <n v="0.05"/>
    <n v="807.5"/>
  </r>
  <r>
    <s v="ORD009"/>
    <s v="2026-02-06"/>
    <x v="1"/>
    <x v="0"/>
    <s v="North"/>
    <n v="4"/>
    <n v="520"/>
    <n v="0.08"/>
    <n v="1913.6000000000001"/>
  </r>
  <r>
    <s v="ORD010"/>
    <s v="2026-02-09"/>
    <x v="2"/>
    <x v="1"/>
    <s v="South"/>
    <n v="12"/>
    <n v="75"/>
    <n v="0.1"/>
    <n v="810"/>
  </r>
  <r>
    <s v="ORD011"/>
    <s v="2026-02-14"/>
    <x v="3"/>
    <x v="0"/>
    <s v="East"/>
    <n v="5"/>
    <n v="340"/>
    <n v="0.05"/>
    <n v="1615"/>
  </r>
  <r>
    <s v="ORD012"/>
    <s v="2026-02-18"/>
    <x v="4"/>
    <x v="1"/>
    <s v="West"/>
    <n v="7"/>
    <n v="180"/>
    <n v="0.12"/>
    <n v="1108.8"/>
  </r>
  <r>
    <s v="ORD013"/>
    <s v="2026-02-22"/>
    <x v="5"/>
    <x v="1"/>
    <s v="North"/>
    <n v="9"/>
    <n v="45"/>
    <n v="0.05"/>
    <n v="384.75"/>
  </r>
  <r>
    <s v="ORD014"/>
    <s v="2026-03-03"/>
    <x v="6"/>
    <x v="1"/>
    <s v="South"/>
    <n v="20"/>
    <n v="25"/>
    <n v="0"/>
    <n v="500"/>
  </r>
  <r>
    <s v="ORD015"/>
    <s v="2026-03-08"/>
    <x v="0"/>
    <x v="0"/>
    <s v="East"/>
    <n v="2"/>
    <n v="850"/>
    <n v="0.1"/>
    <n v="1530"/>
  </r>
  <r>
    <s v="ORD016"/>
    <s v="2026-03-12"/>
    <x v="1"/>
    <x v="0"/>
    <s v="West"/>
    <n v="6"/>
    <n v="520"/>
    <n v="0.05"/>
    <n v="2964"/>
  </r>
  <r>
    <s v="ORD017"/>
    <s v="2026-03-17"/>
    <x v="2"/>
    <x v="1"/>
    <s v="North"/>
    <n v="10"/>
    <n v="75"/>
    <n v="0.08"/>
    <n v="690"/>
  </r>
  <r>
    <s v="ORD018"/>
    <s v="2026-03-21"/>
    <x v="3"/>
    <x v="0"/>
    <s v="South"/>
    <n v="4"/>
    <n v="340"/>
    <n v="0.1"/>
    <n v="1224"/>
  </r>
  <r>
    <s v="ORD019"/>
    <s v="2026-03-25"/>
    <x v="4"/>
    <x v="1"/>
    <s v="East"/>
    <n v="8"/>
    <n v="180"/>
    <n v="0.05"/>
    <n v="1368"/>
  </r>
  <r>
    <s v="ORD020"/>
    <s v="2026-03-29"/>
    <x v="5"/>
    <x v="1"/>
    <s v="West"/>
    <n v="11"/>
    <n v="45"/>
    <n v="0"/>
    <n v="4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B7C84-FDEA-4A11-B62D-0A8E9113DB53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B10" firstHeaderRow="1" firstDataRow="1" firstDataCol="1"/>
  <pivotFields count="9">
    <pivotField showAll="0"/>
    <pivotField showAll="0"/>
    <pivotField axis="axisRow" showAll="0" measureFilter="1" sortType="descending">
      <items count="8">
        <item x="2"/>
        <item x="5"/>
        <item x="0"/>
        <item x="6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numFmtId="9" showAll="0"/>
    <pivotField dataField="1" numFmtId="165" showAll="0"/>
  </pivotFields>
  <rowFields count="1">
    <field x="2"/>
  </rowFields>
  <rowItems count="6">
    <i>
      <x v="4"/>
    </i>
    <i>
      <x v="2"/>
    </i>
    <i>
      <x v="6"/>
    </i>
    <i>
      <x v="5"/>
    </i>
    <i>
      <x/>
    </i>
    <i t="grand">
      <x/>
    </i>
  </rowItems>
  <colItems count="1">
    <i/>
  </colItems>
  <dataFields count="1">
    <dataField name="Sum of Sales" fld="8" baseField="0" baseItem="0" numFmtId="4"/>
  </dataFields>
  <formats count="30">
    <format dxfId="58">
      <pivotArea field="2" type="button" dataOnly="0" labelOnly="1" outline="0" axis="axisRow" fieldPosition="0"/>
    </format>
    <format dxfId="57">
      <pivotArea dataOnly="0" labelOnly="1" outline="0" axis="axisValues" fieldPosition="0"/>
    </format>
    <format dxfId="56">
      <pivotArea field="2" type="button" dataOnly="0" labelOnly="1" outline="0" axis="axisRow" fieldPosition="0"/>
    </format>
    <format dxfId="55">
      <pivotArea dataOnly="0" labelOnly="1" outline="0" axis="axisValues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collapsedLevelsAreSubtotals="1" fieldPosition="0">
        <references count="1">
          <reference field="2" count="0"/>
        </references>
      </pivotArea>
    </format>
    <format dxfId="51">
      <pivotArea dataOnly="0" labelOnly="1" fieldPosition="0">
        <references count="1">
          <reference field="2" count="0"/>
        </references>
      </pivotArea>
    </format>
    <format dxfId="50">
      <pivotArea collapsedLevelsAreSubtotals="1" fieldPosition="0">
        <references count="1">
          <reference field="2" count="0"/>
        </references>
      </pivotArea>
    </format>
    <format dxfId="49">
      <pivotArea dataOnly="0" labelOnly="1" fieldPosition="0">
        <references count="1">
          <reference field="2" count="0"/>
        </references>
      </pivotArea>
    </format>
    <format dxfId="48">
      <pivotArea collapsedLevelsAreSubtotals="1" fieldPosition="0">
        <references count="1">
          <reference field="2" count="0"/>
        </references>
      </pivotArea>
    </format>
    <format dxfId="47">
      <pivotArea dataOnly="0" labelOnly="1" fieldPosition="0">
        <references count="1">
          <reference field="2" count="0"/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grandRow="1"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outline="0" axis="axisValues" fieldPosition="0"/>
    </format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B9E31-D1C5-4239-9CA5-4B4AF4782B0E}" name="Table1" displayName="Table1" ref="A1:I21" totalsRowShown="0" headerRowDxfId="69" dataDxfId="68">
  <autoFilter ref="A1:I21" xr:uid="{00000000-0009-0000-0000-000000000000}"/>
  <tableColumns count="9">
    <tableColumn id="1" xr3:uid="{A41AE449-1677-4DD2-9524-7C6439E4784D}" name="Order ID" dataDxfId="67"/>
    <tableColumn id="2" xr3:uid="{E39B1FAA-98AD-446A-A3B0-538F9B6D589E}" name="Date" dataDxfId="66"/>
    <tableColumn id="3" xr3:uid="{416EB868-77FB-4B88-90AB-C58E4AEFD2D7}" name="Product" dataDxfId="65"/>
    <tableColumn id="4" xr3:uid="{6ACA4C05-D686-490D-9735-559696CB6587}" name="Category" dataDxfId="64"/>
    <tableColumn id="5" xr3:uid="{D7165C4A-F6E8-4D06-A2B0-FD660DE8D679}" name="Region" dataDxfId="63"/>
    <tableColumn id="6" xr3:uid="{D371A5CC-3E7D-4BFA-A48E-F28799757BC6}" name="Units Sold" dataDxfId="62"/>
    <tableColumn id="7" xr3:uid="{1CCA3D91-E3AD-4C20-8447-581861005C2F}" name="Unit Price" dataDxfId="61"/>
    <tableColumn id="8" xr3:uid="{7F6804D8-97B5-46F3-BA2F-D985E7CBCE9A}" name="Discount" dataDxfId="60"/>
    <tableColumn id="9" xr3:uid="{44D470C4-7898-43ED-929F-81625A85F3E5}" name="Sales" dataDxfId="59">
      <calculatedColumnFormula>F2*G2*(1-H2)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05" workbookViewId="0">
      <pane ySplit="1" topLeftCell="A2" activePane="bottomLeft" state="frozen"/>
      <selection pane="bottomLeft" activeCell="C26" sqref="C26"/>
    </sheetView>
  </sheetViews>
  <sheetFormatPr defaultRowHeight="14.4" x14ac:dyDescent="0.3"/>
  <cols>
    <col min="1" max="1" width="13.21875" customWidth="1"/>
    <col min="2" max="2" width="15.33203125" customWidth="1"/>
    <col min="3" max="4" width="17.6640625" customWidth="1"/>
    <col min="5" max="5" width="12.77734375" customWidth="1"/>
    <col min="6" max="6" width="14.77734375" customWidth="1"/>
    <col min="7" max="7" width="14.6640625" customWidth="1"/>
    <col min="8" max="8" width="13.44140625" customWidth="1"/>
    <col min="9" max="9" width="15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4" t="s">
        <v>10</v>
      </c>
      <c r="C2" s="3" t="s">
        <v>11</v>
      </c>
      <c r="D2" s="3" t="s">
        <v>12</v>
      </c>
      <c r="E2" s="3" t="s">
        <v>13</v>
      </c>
      <c r="F2" s="3">
        <v>2</v>
      </c>
      <c r="G2" s="5">
        <v>850</v>
      </c>
      <c r="H2" s="6">
        <v>0.05</v>
      </c>
      <c r="I2" s="5">
        <f>F2*G2*(1-H2)</f>
        <v>1615</v>
      </c>
    </row>
    <row r="3" spans="1:9" x14ac:dyDescent="0.3">
      <c r="A3" s="3" t="s">
        <v>14</v>
      </c>
      <c r="B3" s="4" t="s">
        <v>15</v>
      </c>
      <c r="C3" s="3" t="s">
        <v>16</v>
      </c>
      <c r="D3" s="3" t="s">
        <v>12</v>
      </c>
      <c r="E3" s="3" t="s">
        <v>17</v>
      </c>
      <c r="F3" s="3">
        <v>5</v>
      </c>
      <c r="G3" s="5">
        <v>520</v>
      </c>
      <c r="H3" s="6">
        <v>0.1</v>
      </c>
      <c r="I3" s="5">
        <f>F3*G3*(1-H3)</f>
        <v>2340</v>
      </c>
    </row>
    <row r="4" spans="1:9" x14ac:dyDescent="0.3">
      <c r="A4" s="3" t="s">
        <v>18</v>
      </c>
      <c r="B4" s="4" t="s">
        <v>19</v>
      </c>
      <c r="C4" s="3" t="s">
        <v>20</v>
      </c>
      <c r="D4" s="3" t="s">
        <v>21</v>
      </c>
      <c r="E4" s="3" t="s">
        <v>22</v>
      </c>
      <c r="F4" s="3">
        <v>8</v>
      </c>
      <c r="G4" s="5">
        <v>75</v>
      </c>
      <c r="H4" s="6">
        <v>0.05</v>
      </c>
      <c r="I4" s="5">
        <f>F4*G4*(1-H4)</f>
        <v>570</v>
      </c>
    </row>
    <row r="5" spans="1:9" x14ac:dyDescent="0.3">
      <c r="A5" s="3" t="s">
        <v>23</v>
      </c>
      <c r="B5" s="4" t="s">
        <v>24</v>
      </c>
      <c r="C5" s="3" t="s">
        <v>25</v>
      </c>
      <c r="D5" s="3" t="s">
        <v>12</v>
      </c>
      <c r="E5" s="3" t="s">
        <v>26</v>
      </c>
      <c r="F5" s="3">
        <v>3</v>
      </c>
      <c r="G5" s="5">
        <v>340</v>
      </c>
      <c r="H5" s="6">
        <v>0.08</v>
      </c>
      <c r="I5" s="5">
        <f t="shared" ref="I5:I21" si="0">F5*G5*(1-H5)</f>
        <v>938.40000000000009</v>
      </c>
    </row>
    <row r="6" spans="1:9" x14ac:dyDescent="0.3">
      <c r="A6" s="3" t="s">
        <v>27</v>
      </c>
      <c r="B6" s="4" t="s">
        <v>28</v>
      </c>
      <c r="C6" s="3" t="s">
        <v>29</v>
      </c>
      <c r="D6" s="3" t="s">
        <v>21</v>
      </c>
      <c r="E6" s="3" t="s">
        <v>13</v>
      </c>
      <c r="F6" s="3">
        <v>6</v>
      </c>
      <c r="G6" s="5">
        <v>180</v>
      </c>
      <c r="H6" s="6">
        <v>0.1</v>
      </c>
      <c r="I6" s="5">
        <f t="shared" si="0"/>
        <v>972</v>
      </c>
    </row>
    <row r="7" spans="1:9" x14ac:dyDescent="0.3">
      <c r="A7" s="3" t="s">
        <v>30</v>
      </c>
      <c r="B7" s="4" t="s">
        <v>31</v>
      </c>
      <c r="C7" s="3" t="s">
        <v>32</v>
      </c>
      <c r="D7" s="3" t="s">
        <v>21</v>
      </c>
      <c r="E7" s="3" t="s">
        <v>17</v>
      </c>
      <c r="F7" s="3">
        <v>10</v>
      </c>
      <c r="G7" s="5">
        <v>45</v>
      </c>
      <c r="H7" s="6">
        <v>0.05</v>
      </c>
      <c r="I7" s="5">
        <f t="shared" si="0"/>
        <v>427.5</v>
      </c>
    </row>
    <row r="8" spans="1:9" x14ac:dyDescent="0.3">
      <c r="A8" s="3" t="s">
        <v>33</v>
      </c>
      <c r="B8" s="4" t="s">
        <v>34</v>
      </c>
      <c r="C8" s="3" t="s">
        <v>35</v>
      </c>
      <c r="D8" s="3" t="s">
        <v>21</v>
      </c>
      <c r="E8" s="3" t="s">
        <v>22</v>
      </c>
      <c r="F8" s="3">
        <v>15</v>
      </c>
      <c r="G8" s="5">
        <v>25</v>
      </c>
      <c r="H8" s="6">
        <v>0</v>
      </c>
      <c r="I8" s="5">
        <f t="shared" si="0"/>
        <v>375</v>
      </c>
    </row>
    <row r="9" spans="1:9" x14ac:dyDescent="0.3">
      <c r="A9" s="3" t="s">
        <v>36</v>
      </c>
      <c r="B9" s="4" t="s">
        <v>37</v>
      </c>
      <c r="C9" s="3" t="s">
        <v>11</v>
      </c>
      <c r="D9" s="3" t="s">
        <v>12</v>
      </c>
      <c r="E9" s="3" t="s">
        <v>26</v>
      </c>
      <c r="F9" s="3">
        <v>1</v>
      </c>
      <c r="G9" s="5">
        <v>850</v>
      </c>
      <c r="H9" s="6">
        <v>0.05</v>
      </c>
      <c r="I9" s="5">
        <f t="shared" si="0"/>
        <v>807.5</v>
      </c>
    </row>
    <row r="10" spans="1:9" x14ac:dyDescent="0.3">
      <c r="A10" s="3" t="s">
        <v>38</v>
      </c>
      <c r="B10" s="4" t="s">
        <v>39</v>
      </c>
      <c r="C10" s="3" t="s">
        <v>16</v>
      </c>
      <c r="D10" s="3" t="s">
        <v>12</v>
      </c>
      <c r="E10" s="3" t="s">
        <v>13</v>
      </c>
      <c r="F10" s="3">
        <v>4</v>
      </c>
      <c r="G10" s="5">
        <v>520</v>
      </c>
      <c r="H10" s="6">
        <v>0.08</v>
      </c>
      <c r="I10" s="5">
        <f t="shared" si="0"/>
        <v>1913.6000000000001</v>
      </c>
    </row>
    <row r="11" spans="1:9" x14ac:dyDescent="0.3">
      <c r="A11" s="3" t="s">
        <v>40</v>
      </c>
      <c r="B11" s="4" t="s">
        <v>41</v>
      </c>
      <c r="C11" s="3" t="s">
        <v>20</v>
      </c>
      <c r="D11" s="3" t="s">
        <v>21</v>
      </c>
      <c r="E11" s="3" t="s">
        <v>17</v>
      </c>
      <c r="F11" s="3">
        <v>12</v>
      </c>
      <c r="G11" s="5">
        <v>75</v>
      </c>
      <c r="H11" s="6">
        <v>0.1</v>
      </c>
      <c r="I11" s="5">
        <f t="shared" si="0"/>
        <v>810</v>
      </c>
    </row>
    <row r="12" spans="1:9" x14ac:dyDescent="0.3">
      <c r="A12" s="3" t="s">
        <v>42</v>
      </c>
      <c r="B12" s="4" t="s">
        <v>43</v>
      </c>
      <c r="C12" s="3" t="s">
        <v>25</v>
      </c>
      <c r="D12" s="3" t="s">
        <v>12</v>
      </c>
      <c r="E12" s="3" t="s">
        <v>22</v>
      </c>
      <c r="F12" s="3">
        <v>5</v>
      </c>
      <c r="G12" s="5">
        <v>340</v>
      </c>
      <c r="H12" s="6">
        <v>0.05</v>
      </c>
      <c r="I12" s="5">
        <f t="shared" si="0"/>
        <v>1615</v>
      </c>
    </row>
    <row r="13" spans="1:9" x14ac:dyDescent="0.3">
      <c r="A13" s="3" t="s">
        <v>44</v>
      </c>
      <c r="B13" s="4" t="s">
        <v>45</v>
      </c>
      <c r="C13" s="3" t="s">
        <v>29</v>
      </c>
      <c r="D13" s="3" t="s">
        <v>21</v>
      </c>
      <c r="E13" s="3" t="s">
        <v>26</v>
      </c>
      <c r="F13" s="3">
        <v>7</v>
      </c>
      <c r="G13" s="5">
        <v>180</v>
      </c>
      <c r="H13" s="6">
        <v>0.12</v>
      </c>
      <c r="I13" s="5">
        <f t="shared" si="0"/>
        <v>1108.8</v>
      </c>
    </row>
    <row r="14" spans="1:9" x14ac:dyDescent="0.3">
      <c r="A14" s="3" t="s">
        <v>46</v>
      </c>
      <c r="B14" s="4" t="s">
        <v>47</v>
      </c>
      <c r="C14" s="3" t="s">
        <v>32</v>
      </c>
      <c r="D14" s="3" t="s">
        <v>21</v>
      </c>
      <c r="E14" s="3" t="s">
        <v>13</v>
      </c>
      <c r="F14" s="3">
        <v>9</v>
      </c>
      <c r="G14" s="5">
        <v>45</v>
      </c>
      <c r="H14" s="6">
        <v>0.05</v>
      </c>
      <c r="I14" s="5">
        <f t="shared" si="0"/>
        <v>384.75</v>
      </c>
    </row>
    <row r="15" spans="1:9" x14ac:dyDescent="0.3">
      <c r="A15" s="3" t="s">
        <v>48</v>
      </c>
      <c r="B15" s="4" t="s">
        <v>49</v>
      </c>
      <c r="C15" s="3" t="s">
        <v>35</v>
      </c>
      <c r="D15" s="3" t="s">
        <v>21</v>
      </c>
      <c r="E15" s="3" t="s">
        <v>17</v>
      </c>
      <c r="F15" s="3">
        <v>20</v>
      </c>
      <c r="G15" s="5">
        <v>25</v>
      </c>
      <c r="H15" s="6">
        <v>0</v>
      </c>
      <c r="I15" s="5">
        <f t="shared" si="0"/>
        <v>500</v>
      </c>
    </row>
    <row r="16" spans="1:9" x14ac:dyDescent="0.3">
      <c r="A16" s="3" t="s">
        <v>50</v>
      </c>
      <c r="B16" s="4" t="s">
        <v>51</v>
      </c>
      <c r="C16" s="3" t="s">
        <v>11</v>
      </c>
      <c r="D16" s="3" t="s">
        <v>12</v>
      </c>
      <c r="E16" s="3" t="s">
        <v>22</v>
      </c>
      <c r="F16" s="3">
        <v>2</v>
      </c>
      <c r="G16" s="5">
        <v>850</v>
      </c>
      <c r="H16" s="6">
        <v>0.1</v>
      </c>
      <c r="I16" s="5">
        <f t="shared" si="0"/>
        <v>1530</v>
      </c>
    </row>
    <row r="17" spans="1:9" x14ac:dyDescent="0.3">
      <c r="A17" s="3" t="s">
        <v>52</v>
      </c>
      <c r="B17" s="4" t="s">
        <v>53</v>
      </c>
      <c r="C17" s="3" t="s">
        <v>16</v>
      </c>
      <c r="D17" s="3" t="s">
        <v>12</v>
      </c>
      <c r="E17" s="3" t="s">
        <v>26</v>
      </c>
      <c r="F17" s="3">
        <v>6</v>
      </c>
      <c r="G17" s="5">
        <v>520</v>
      </c>
      <c r="H17" s="6">
        <v>0.05</v>
      </c>
      <c r="I17" s="5">
        <f t="shared" si="0"/>
        <v>2964</v>
      </c>
    </row>
    <row r="18" spans="1:9" x14ac:dyDescent="0.3">
      <c r="A18" s="3" t="s">
        <v>54</v>
      </c>
      <c r="B18" s="4" t="s">
        <v>55</v>
      </c>
      <c r="C18" s="3" t="s">
        <v>20</v>
      </c>
      <c r="D18" s="3" t="s">
        <v>21</v>
      </c>
      <c r="E18" s="3" t="s">
        <v>13</v>
      </c>
      <c r="F18" s="3">
        <v>10</v>
      </c>
      <c r="G18" s="5">
        <v>75</v>
      </c>
      <c r="H18" s="6">
        <v>0.08</v>
      </c>
      <c r="I18" s="5">
        <f t="shared" si="0"/>
        <v>690</v>
      </c>
    </row>
    <row r="19" spans="1:9" x14ac:dyDescent="0.3">
      <c r="A19" s="3" t="s">
        <v>56</v>
      </c>
      <c r="B19" s="4" t="s">
        <v>57</v>
      </c>
      <c r="C19" s="3" t="s">
        <v>25</v>
      </c>
      <c r="D19" s="3" t="s">
        <v>12</v>
      </c>
      <c r="E19" s="3" t="s">
        <v>17</v>
      </c>
      <c r="F19" s="3">
        <v>4</v>
      </c>
      <c r="G19" s="5">
        <v>340</v>
      </c>
      <c r="H19" s="6">
        <v>0.1</v>
      </c>
      <c r="I19" s="5">
        <f t="shared" si="0"/>
        <v>1224</v>
      </c>
    </row>
    <row r="20" spans="1:9" x14ac:dyDescent="0.3">
      <c r="A20" s="3" t="s">
        <v>58</v>
      </c>
      <c r="B20" s="4" t="s">
        <v>59</v>
      </c>
      <c r="C20" s="3" t="s">
        <v>29</v>
      </c>
      <c r="D20" s="3" t="s">
        <v>21</v>
      </c>
      <c r="E20" s="3" t="s">
        <v>22</v>
      </c>
      <c r="F20" s="3">
        <v>8</v>
      </c>
      <c r="G20" s="5">
        <v>180</v>
      </c>
      <c r="H20" s="6">
        <v>0.05</v>
      </c>
      <c r="I20" s="5">
        <f t="shared" si="0"/>
        <v>1368</v>
      </c>
    </row>
    <row r="21" spans="1:9" x14ac:dyDescent="0.3">
      <c r="A21" s="3" t="s">
        <v>60</v>
      </c>
      <c r="B21" s="4" t="s">
        <v>61</v>
      </c>
      <c r="C21" s="3" t="s">
        <v>32</v>
      </c>
      <c r="D21" s="3" t="s">
        <v>21</v>
      </c>
      <c r="E21" s="3" t="s">
        <v>26</v>
      </c>
      <c r="F21" s="3">
        <v>11</v>
      </c>
      <c r="G21" s="5">
        <v>45</v>
      </c>
      <c r="H21" s="6">
        <v>0</v>
      </c>
      <c r="I21" s="5">
        <f t="shared" si="0"/>
        <v>495</v>
      </c>
    </row>
  </sheetData>
  <conditionalFormatting sqref="I1:I21">
    <cfRule type="colorScale" priority="1">
      <colorScale>
        <cfvo type="min"/>
        <cfvo type="max"/>
        <color theme="9" tint="0.39997558519241921"/>
        <color theme="3" tint="0.59999389629810485"/>
      </colorScale>
    </cfRule>
    <cfRule type="colorScale" priority="2">
      <colorScale>
        <cfvo type="min"/>
        <cfvo type="max"/>
        <color theme="9" tint="-0.249977111117893"/>
        <color rgb="FFFFEF9C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672C-778C-4F29-AE7D-961BE77F1D68}">
  <dimension ref="A1:T23"/>
  <sheetViews>
    <sheetView zoomScale="90" zoomScaleNormal="90" workbookViewId="0">
      <selection activeCell="L18" sqref="L18"/>
    </sheetView>
  </sheetViews>
  <sheetFormatPr defaultRowHeight="14.4" x14ac:dyDescent="0.3"/>
  <cols>
    <col min="1" max="1" width="29.5546875" customWidth="1"/>
    <col min="2" max="2" width="13.21875" customWidth="1"/>
    <col min="3" max="3" width="7.77734375" customWidth="1"/>
    <col min="4" max="4" width="8.88671875" customWidth="1"/>
    <col min="12" max="12" width="21" customWidth="1"/>
    <col min="13" max="13" width="13.6640625" customWidth="1"/>
    <col min="14" max="14" width="9.33203125" customWidth="1"/>
    <col min="15" max="15" width="8.21875" customWidth="1"/>
    <col min="17" max="17" width="7.88671875" customWidth="1"/>
    <col min="19" max="19" width="25.21875" customWidth="1"/>
  </cols>
  <sheetData>
    <row r="1" spans="1:13" ht="18" x14ac:dyDescent="0.3">
      <c r="A1" s="10" t="s">
        <v>62</v>
      </c>
      <c r="B1" s="3"/>
      <c r="C1" s="3"/>
      <c r="D1" s="3"/>
      <c r="E1" s="3"/>
      <c r="F1" s="3"/>
    </row>
    <row r="2" spans="1:13" ht="18" x14ac:dyDescent="0.3">
      <c r="A2" s="7" t="s">
        <v>63</v>
      </c>
      <c r="B2" s="8">
        <f>SUM('Sales Data'!I2:I21)</f>
        <v>22648.55</v>
      </c>
      <c r="C2" s="3"/>
      <c r="D2" s="3"/>
      <c r="E2" s="3"/>
      <c r="F2" s="3"/>
      <c r="L2" s="10" t="s">
        <v>67</v>
      </c>
      <c r="M2" s="3"/>
    </row>
    <row r="3" spans="1:13" x14ac:dyDescent="0.3">
      <c r="A3" s="7" t="s">
        <v>64</v>
      </c>
      <c r="B3" s="8">
        <f>SUM('Sales Data'!F2:F21)</f>
        <v>148</v>
      </c>
      <c r="C3" s="3"/>
      <c r="D3" s="3"/>
      <c r="E3" s="3"/>
      <c r="F3" s="3"/>
      <c r="L3" s="7" t="s">
        <v>12</v>
      </c>
      <c r="M3" s="9">
        <f>SUMIF('Sales Data'!D2:D21,L3,'Sales Data'!I2:I21)</f>
        <v>14947.5</v>
      </c>
    </row>
    <row r="4" spans="1:13" x14ac:dyDescent="0.3">
      <c r="A4" s="7" t="s">
        <v>65</v>
      </c>
      <c r="B4" s="9">
        <f>AVERAGE('Sales Data'!I2:I21)</f>
        <v>1132.4275</v>
      </c>
      <c r="C4" s="3"/>
      <c r="D4" s="3"/>
      <c r="E4" s="3"/>
      <c r="F4" s="3"/>
      <c r="L4" s="7" t="s">
        <v>21</v>
      </c>
      <c r="M4" s="9">
        <f>SUMIF('Sales Data'!D2:D21,L4,'Sales Data'!I2:I21)</f>
        <v>7701.05</v>
      </c>
    </row>
    <row r="5" spans="1:13" x14ac:dyDescent="0.3">
      <c r="A5" s="7" t="s">
        <v>83</v>
      </c>
      <c r="B5" s="19" cm="1">
        <f t="array" ref="B5">SUMPRODUCT('Sales Data'!F2:F21*'Sales Data'!G2:G21*'Sales Data'!H2:H21)</f>
        <v>1736.45</v>
      </c>
      <c r="C5" s="3"/>
      <c r="D5" s="3"/>
      <c r="E5" s="3"/>
      <c r="F5" s="3"/>
    </row>
    <row r="6" spans="1:13" x14ac:dyDescent="0.3">
      <c r="A6" s="7" t="s">
        <v>84</v>
      </c>
      <c r="B6" s="24">
        <f>B5/(B2+B5)</f>
        <v>7.1209760098421157E-2</v>
      </c>
      <c r="C6" s="3"/>
      <c r="D6" s="3"/>
      <c r="E6" s="3"/>
      <c r="F6" s="3"/>
    </row>
    <row r="7" spans="1:13" x14ac:dyDescent="0.3">
      <c r="A7" s="7" t="s">
        <v>85</v>
      </c>
      <c r="B7" s="7">
        <f>COUNTA('Sales Data'!A2:A21)</f>
        <v>20</v>
      </c>
      <c r="C7" s="3"/>
      <c r="D7" s="3"/>
      <c r="E7" s="3"/>
      <c r="F7" s="3"/>
    </row>
    <row r="8" spans="1:13" x14ac:dyDescent="0.3">
      <c r="A8" s="7" t="s">
        <v>86</v>
      </c>
      <c r="B8" s="20">
        <f>AVERAGE('Sales Data'!H2:H21)</f>
        <v>6.3000000000000014E-2</v>
      </c>
      <c r="C8" s="3"/>
      <c r="F8" s="3"/>
    </row>
    <row r="9" spans="1:13" x14ac:dyDescent="0.3">
      <c r="A9" s="7" t="s">
        <v>87</v>
      </c>
      <c r="B9" s="8">
        <f>MAX('Sales Data'!I2:I21)</f>
        <v>2964</v>
      </c>
      <c r="C9" s="3"/>
      <c r="F9" s="3"/>
    </row>
    <row r="10" spans="1:13" x14ac:dyDescent="0.3">
      <c r="A10" s="7" t="s">
        <v>88</v>
      </c>
      <c r="B10" s="7">
        <f>MIN('Sales Data'!I2:I21)</f>
        <v>375</v>
      </c>
      <c r="C10" s="3"/>
      <c r="F10" s="3"/>
    </row>
    <row r="11" spans="1:13" x14ac:dyDescent="0.3">
      <c r="C11" s="3"/>
      <c r="F11" s="3"/>
    </row>
    <row r="12" spans="1:13" ht="18" x14ac:dyDescent="0.3">
      <c r="A12" s="10" t="s">
        <v>66</v>
      </c>
      <c r="B12" s="3"/>
      <c r="C12" s="3"/>
      <c r="F12" s="3"/>
    </row>
    <row r="13" spans="1:13" x14ac:dyDescent="0.3">
      <c r="A13" s="7" t="s">
        <v>13</v>
      </c>
      <c r="B13" s="9">
        <f>SUMIF('Sales Data'!E2:E21,A13,'Sales Data'!I2:I21)</f>
        <v>5575.35</v>
      </c>
      <c r="C13" s="3"/>
      <c r="F13" s="3"/>
    </row>
    <row r="14" spans="1:13" x14ac:dyDescent="0.3">
      <c r="A14" s="7" t="s">
        <v>17</v>
      </c>
      <c r="B14" s="9">
        <f>SUMIF('Sales Data'!E2:E21,A14,'Sales Data'!I2:I21)</f>
        <v>5301.5</v>
      </c>
      <c r="C14" s="3"/>
      <c r="F14" s="3"/>
    </row>
    <row r="15" spans="1:13" x14ac:dyDescent="0.3">
      <c r="A15" s="7" t="s">
        <v>22</v>
      </c>
      <c r="B15" s="9">
        <f>SUMIF('Sales Data'!E2:E21,A15,'Sales Data'!I2:I21)</f>
        <v>5458</v>
      </c>
      <c r="C15" s="3"/>
      <c r="F15" s="3"/>
    </row>
    <row r="16" spans="1:13" x14ac:dyDescent="0.3">
      <c r="A16" s="7" t="s">
        <v>26</v>
      </c>
      <c r="B16" s="9">
        <f>SUMIF('Sales Data'!E2:E21,A16,'Sales Data'!I2:I21)</f>
        <v>6313.7</v>
      </c>
      <c r="C16" s="3"/>
      <c r="F16" s="3"/>
    </row>
    <row r="17" spans="1:20" x14ac:dyDescent="0.3">
      <c r="B17" s="25"/>
      <c r="C17" s="3"/>
      <c r="F17" s="3"/>
    </row>
    <row r="18" spans="1:20" ht="18" x14ac:dyDescent="0.3">
      <c r="A18" s="10" t="s">
        <v>68</v>
      </c>
      <c r="B18" s="26"/>
      <c r="C18" s="3"/>
      <c r="F18" s="3"/>
      <c r="M18" s="21"/>
    </row>
    <row r="19" spans="1:20" x14ac:dyDescent="0.3">
      <c r="A19" s="11" t="s">
        <v>69</v>
      </c>
      <c r="B19" s="27" t="s">
        <v>8</v>
      </c>
      <c r="C19" s="3"/>
      <c r="F19" s="3"/>
    </row>
    <row r="20" spans="1:20" x14ac:dyDescent="0.3">
      <c r="A20" s="7" t="s">
        <v>70</v>
      </c>
      <c r="B20" s="9" cm="1">
        <f t="array" ref="B20">SUMPRODUCT((MONTH('Sales Data'!B$2:B$21)=1)*('Sales Data'!I$2:I$21))</f>
        <v>7237.9</v>
      </c>
    </row>
    <row r="21" spans="1:20" x14ac:dyDescent="0.3">
      <c r="A21" s="7" t="s">
        <v>71</v>
      </c>
      <c r="B21" s="9" cm="1">
        <f t="array" ref="B21">SUMPRODUCT((MONTH('Sales Data'!B$2:B$21)=2)*('Sales Data'!I$2:I$21))</f>
        <v>6639.6500000000005</v>
      </c>
    </row>
    <row r="22" spans="1:20" x14ac:dyDescent="0.3">
      <c r="A22" s="7" t="s">
        <v>72</v>
      </c>
      <c r="B22" s="9" cm="1">
        <f t="array" ref="B22">SUMPRODUCT((MONTH('Sales Data'!B$2:B$21)=3)*'Sales Data'!I$2:I$21)</f>
        <v>8771</v>
      </c>
    </row>
    <row r="23" spans="1:20" ht="15.6" x14ac:dyDescent="0.3">
      <c r="S23" s="22" t="s">
        <v>89</v>
      </c>
      <c r="T23" s="2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14A4-8E4C-4CEB-A307-BD101A56A113}">
  <sheetPr>
    <pageSetUpPr autoPageBreaks="0"/>
  </sheetPr>
  <dimension ref="A1:B17"/>
  <sheetViews>
    <sheetView zoomScaleNormal="100" workbookViewId="0">
      <selection activeCell="C18" sqref="C18"/>
    </sheetView>
  </sheetViews>
  <sheetFormatPr defaultRowHeight="14.4" x14ac:dyDescent="0.3"/>
  <cols>
    <col min="1" max="1" width="43.5546875" customWidth="1"/>
    <col min="2" max="2" width="11.6640625" customWidth="1"/>
    <col min="3" max="3" width="8.88671875" customWidth="1"/>
    <col min="5" max="8" width="8.88671875" customWidth="1"/>
  </cols>
  <sheetData>
    <row r="1" spans="1:2" ht="21" x14ac:dyDescent="0.3">
      <c r="A1" s="13" t="s">
        <v>76</v>
      </c>
    </row>
    <row r="3" spans="1:2" ht="15.6" x14ac:dyDescent="0.3">
      <c r="A3" s="14" t="s">
        <v>77</v>
      </c>
      <c r="B3" s="2"/>
    </row>
    <row r="4" spans="1:2" x14ac:dyDescent="0.3">
      <c r="A4" s="16" t="s">
        <v>73</v>
      </c>
      <c r="B4" s="16" t="s">
        <v>75</v>
      </c>
    </row>
    <row r="5" spans="1:2" x14ac:dyDescent="0.3">
      <c r="A5" s="12" t="s">
        <v>16</v>
      </c>
      <c r="B5" s="28">
        <v>7217.6</v>
      </c>
    </row>
    <row r="6" spans="1:2" x14ac:dyDescent="0.3">
      <c r="A6" s="12" t="s">
        <v>11</v>
      </c>
      <c r="B6" s="28">
        <v>3952.5</v>
      </c>
    </row>
    <row r="7" spans="1:2" x14ac:dyDescent="0.3">
      <c r="A7" s="12" t="s">
        <v>25</v>
      </c>
      <c r="B7" s="28">
        <v>3777.4</v>
      </c>
    </row>
    <row r="8" spans="1:2" x14ac:dyDescent="0.3">
      <c r="A8" s="12" t="s">
        <v>29</v>
      </c>
      <c r="B8" s="28">
        <v>3448.8</v>
      </c>
    </row>
    <row r="9" spans="1:2" x14ac:dyDescent="0.3">
      <c r="A9" s="12" t="s">
        <v>20</v>
      </c>
      <c r="B9" s="28">
        <v>2070</v>
      </c>
    </row>
    <row r="10" spans="1:2" x14ac:dyDescent="0.3">
      <c r="A10" s="15" t="s">
        <v>74</v>
      </c>
      <c r="B10" s="29">
        <v>20466.300000000003</v>
      </c>
    </row>
    <row r="13" spans="1:2" ht="15.6" x14ac:dyDescent="0.3">
      <c r="A13" s="18" t="s">
        <v>78</v>
      </c>
    </row>
    <row r="14" spans="1:2" x14ac:dyDescent="0.3">
      <c r="A14" s="17" t="s">
        <v>79</v>
      </c>
    </row>
    <row r="15" spans="1:2" x14ac:dyDescent="0.3">
      <c r="A15" s="17" t="s">
        <v>80</v>
      </c>
    </row>
    <row r="16" spans="1:2" x14ac:dyDescent="0.3">
      <c r="A16" s="17" t="s">
        <v>81</v>
      </c>
    </row>
    <row r="17" spans="1:1" x14ac:dyDescent="0.3">
      <c r="A17" s="17" t="s">
        <v>82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Summary</vt:lpstr>
      <vt:lpstr>Product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negin</cp:lastModifiedBy>
  <dcterms:created xsi:type="dcterms:W3CDTF">2026-09-24T12:10:27Z</dcterms:created>
  <dcterms:modified xsi:type="dcterms:W3CDTF">2026-10-09T18:15:47Z</dcterms:modified>
</cp:coreProperties>
</file>